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epeat vs One-Time" sheetId="2" state="visible" r:id="rId4"/>
    <sheet name="Retention &amp; Drop-off" sheetId="3" state="visible" r:id="rId5"/>
    <sheet name="Category &amp; Channel" sheetId="4" state="visible" r:id="rId6"/>
    <sheet name="Churn Risk &amp; RFM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<sst xmlns="http://schemas.openxmlformats.org/spreadsheetml/2006/main" count="119" uniqueCount="106">
  <si>
    <t xml:space="preserve">Revenue &amp; Churn Intelligence</t>
  </si>
  <si>
    <t xml:space="preserve">Google Merchandise Store — GA4 e-commerce data, Nov 2020 - Jan 2021</t>
  </si>
  <si>
    <t xml:space="preserve">Business Question</t>
  </si>
  <si>
    <t xml:space="preserve">Which customer segments and products drive repeat revenue, and which are at risk of churning — and what should the business do about it?</t>
  </si>
  <si>
    <t xml:space="preserve">25.3%</t>
  </si>
  <si>
    <t xml:space="preserve">88.6%</t>
  </si>
  <si>
    <t xml:space="preserve">$76,994</t>
  </si>
  <si>
    <t xml:space="preserve">39%</t>
  </si>
  <si>
    <t xml:space="preserve">of revenue from just 11.4% of customers (repeat buyers)</t>
  </si>
  <si>
    <t xml:space="preserve">of first-time buyers never make a second purchase</t>
  </si>
  <si>
    <t xml:space="preserve">in repeat-buyer revenue is at risk (30+ days silent)</t>
  </si>
  <si>
    <t xml:space="preserve">of the customer base falls into a churn-related RFM segment</t>
  </si>
  <si>
    <t xml:space="preserve">Key Findings</t>
  </si>
  <si>
    <t xml:space="preserve">1. Repeat buyers are a small slice of the base (502 of 4,400 customers) but each is worth roughly 3x an average one-time buyer — retention here has outsized ROI.</t>
  </si>
  <si>
    <t xml:space="preserve">2. Among customers who do return, 91% do so within 30 days of their first purchase. There is almost no 'slow burn' repeat pattern — re-engagement has to happen early or it likely won't happen.</t>
  </si>
  <si>
    <t xml:space="preserve">3. Apparel and Bags are the categories most associated with repeat behavior — customers buying in these categories spend ~2x more per person when they are repeat buyers vs one-time buyers.</t>
  </si>
  <si>
    <t xml:space="preserve">4. 44% of previously repeat buyers (221 of 502) went completely silent in the second half of the observed window — the clearest single leading indicator of churn found in this analysis.</t>
  </si>
  <si>
    <t xml:space="preserve">5. Cart abandonment rate does NOT differ meaningfully between repeat (11.7%) and one-time (12.2%) buyers — not a useful population-level churn signal on its own.</t>
  </si>
  <si>
    <t xml:space="preserve">Recommendations</t>
  </si>
  <si>
    <t xml:space="preserve">• Target win-back offers at the 'At Risk - High Value' RFM segment (114 customers, previously high-frequency &amp; high-spend, now gone quiet) — highest revenue-per-recovered-customer potential.</t>
  </si>
  <si>
    <t xml:space="preserve">• Run re-engagement campaigns within a 30-day window of first purchase, since return likelihood collapses sharply after that point.</t>
  </si>
  <si>
    <t xml:space="preserve">• Use category affinity (Apparel, Bags) in cross-sell/upsell messaging to one-time buyers to nudge them toward a second purchase.</t>
  </si>
  <si>
    <t xml:space="preserve">• Treat 'Loyal Low-Spender' customers (689 people) as an upsell/bundle opportunity, not a churn risk — they are active and frequent, just low ticket size.</t>
  </si>
  <si>
    <t xml:space="preserve">Note: user_pseudo_id is a device/cookie-based identifier, not a verified customer ID. A person using multiple devices may be counted as more than one customer.</t>
  </si>
  <si>
    <t xml:space="preserve">Repeat vs One-Time Buyer Revenue</t>
  </si>
  <si>
    <t xml:space="preserve">Answers: how much revenue does each buyer group represent?</t>
  </si>
  <si>
    <t xml:space="preserve">Buyer Type</t>
  </si>
  <si>
    <t xml:space="preserve">Customers</t>
  </si>
  <si>
    <t xml:space="preserve">Total Revenue ($)</t>
  </si>
  <si>
    <t xml:space="preserve">% of Revenue</t>
  </si>
  <si>
    <t xml:space="preserve">Avg Revenue / Customer ($)</t>
  </si>
  <si>
    <t xml:space="preserve">One-Time</t>
  </si>
  <si>
    <t xml:space="preserve">Repeat</t>
  </si>
  <si>
    <t xml:space="preserve">Total</t>
  </si>
  <si>
    <t xml:space="preserve">Insight</t>
  </si>
  <si>
    <t xml:space="preserve">Repeat buyers are only 11.4% of customers but generate roughly a quarter of all revenue, at close to 3x the average revenue per customer of one-time buyers. One-time buyers still drive the majority of revenue (74.7%), so conversion of one-timers to repeaters is also a meaningful lever, not just retention of existing repeaters.</t>
  </si>
  <si>
    <t xml:space="preserve">Retention Drop-off Pattern</t>
  </si>
  <si>
    <t xml:space="preserve">Answers: at what point do users stop returning (30/60/90-day windows)?</t>
  </si>
  <si>
    <t xml:space="preserve">Status</t>
  </si>
  <si>
    <t xml:space="preserve">% of First-Time Buyers</t>
  </si>
  <si>
    <t xml:space="preserve">Never Returned</t>
  </si>
  <si>
    <t xml:space="preserve">Returned within 0-30 days</t>
  </si>
  <si>
    <t xml:space="preserve">Returned within 31-60 days</t>
  </si>
  <si>
    <t xml:space="preserve">Returned within 61-90 days</t>
  </si>
  <si>
    <t xml:space="preserve">Total (all first-time buyers)</t>
  </si>
  <si>
    <t xml:space="preserve">88.6% of first-time buyers never make a second purchase. Among the 502 who do return, 91% do so within 30 days — there is almost no 'slow burn' repeat pattern in this data. This directly informed the 30-day threshold used in the Revenue at Risk analysis below.</t>
  </si>
  <si>
    <t xml:space="preserve">Product Category &amp; Traffic Source Performance</t>
  </si>
  <si>
    <t xml:space="preserve">Answers: which categories/channels bring high-value repeat customers vs one-and-done buyers?</t>
  </si>
  <si>
    <t xml:space="preserve">Top Categories by Revenue (One-Time vs Repeat)</t>
  </si>
  <si>
    <t xml:space="preserve">Category</t>
  </si>
  <si>
    <t xml:space="preserve">One-Time Customers</t>
  </si>
  <si>
    <t xml:space="preserve">One-Time Revenue ($)</t>
  </si>
  <si>
    <t xml:space="preserve">Repeat Customers</t>
  </si>
  <si>
    <t xml:space="preserve">Repeat Revenue ($)</t>
  </si>
  <si>
    <t xml:space="preserve">Repeat $/Customer vs One-Time</t>
  </si>
  <si>
    <t xml:space="preserve">Apparel</t>
  </si>
  <si>
    <t xml:space="preserve">Bags</t>
  </si>
  <si>
    <t xml:space="preserve">New</t>
  </si>
  <si>
    <t xml:space="preserve">Accessories</t>
  </si>
  <si>
    <t xml:space="preserve">Campus Collection</t>
  </si>
  <si>
    <t xml:space="preserve">Shop by Brand</t>
  </si>
  <si>
    <t xml:space="preserve">Drinkware</t>
  </si>
  <si>
    <t xml:space="preserve">Clearance</t>
  </si>
  <si>
    <t xml:space="preserve">Top Traffic Sources by Repeat Rate</t>
  </si>
  <si>
    <t xml:space="preserve">Source / Medium</t>
  </si>
  <si>
    <t xml:space="preserve">Repeat Rate</t>
  </si>
  <si>
    <t xml:space="preserve">shop.googlemerchandisestore.com / referral</t>
  </si>
  <si>
    <t xml:space="preserve">google / cpc</t>
  </si>
  <si>
    <t xml:space="preserve">(direct) / (none)</t>
  </si>
  <si>
    <t xml:space="preserve">google / organic</t>
  </si>
  <si>
    <t xml:space="preserve">Apparel and Bags show the strongest repeat-customer spend multiplier (~1.9-2.2x), making them priority categories for cross-sell to one-time buyers. On the channel side, referral traffic from the store's own site converts to repeat customers at the highest rate (14.8%), while paid search (cpc) brings fewer repeat customers but the highest average spend per customer — a big-ticket, one-off acquisition channel.</t>
  </si>
  <si>
    <t xml:space="preserve">Leading Churn Indicators, RFM Segments &amp; Revenue at Risk</t>
  </si>
  <si>
    <t xml:space="preserve">Answers: leading indicators of churn, and estimated revenue at risk</t>
  </si>
  <si>
    <t xml:space="preserve">Session Activity Decline (strongest leading indicator found)</t>
  </si>
  <si>
    <t xml:space="preserve">Avg Sessions (First Half)</t>
  </si>
  <si>
    <t xml:space="preserve">Avg Sessions (Second Half)</t>
  </si>
  <si>
    <t xml:space="preserve">Went Completely Silent</t>
  </si>
  <si>
    <t xml:space="preserve">Revenue at Risk (Repeat Buyers Only, by Days Since Last Purchase)</t>
  </si>
  <si>
    <t xml:space="preserve">Risk Segment</t>
  </si>
  <si>
    <t xml:space="preserve">Historical Revenue ($)</t>
  </si>
  <si>
    <t xml:space="preserve">% of Repeat Revenue</t>
  </si>
  <si>
    <t xml:space="preserve">Active (recent purchaser)</t>
  </si>
  <si>
    <t xml:space="preserve">Moderate Risk (30-60 days silent)</t>
  </si>
  <si>
    <t xml:space="preserve">High Risk (60+ days silent)</t>
  </si>
  <si>
    <t xml:space="preserve">Revenue at risk (30+ days silent):</t>
  </si>
  <si>
    <t xml:space="preserve">RFM Segment Breakdown (All 4,400 Customers)</t>
  </si>
  <si>
    <t xml:space="preserve">Segment</t>
  </si>
  <si>
    <t xml:space="preserve">% of Base</t>
  </si>
  <si>
    <t xml:space="preserve">What It Means</t>
  </si>
  <si>
    <t xml:space="preserve">Champion</t>
  </si>
  <si>
    <t xml:space="preserve">Recent, frequent, high spend — best customers</t>
  </si>
  <si>
    <t xml:space="preserve">At Risk - High Value</t>
  </si>
  <si>
    <t xml:space="preserve">Was high-frequency &amp; high-spend, now going quiet — top win-back priority</t>
  </si>
  <si>
    <t xml:space="preserve">Promising</t>
  </si>
  <si>
    <t xml:space="preserve">Recently active, moderate spend — could grow into Champions</t>
  </si>
  <si>
    <t xml:space="preserve">Loyal Low-Spender</t>
  </si>
  <si>
    <t xml:space="preserve">Active &amp; frequent, but low spend per visit — upsell opportunity</t>
  </si>
  <si>
    <t xml:space="preserve">New Customer</t>
  </si>
  <si>
    <t xml:space="preserve">Recently active, limited purchase history yet</t>
  </si>
  <si>
    <t xml:space="preserve">Needs Attention</t>
  </si>
  <si>
    <t xml:space="preserve">Mid-range recency — worth monitoring</t>
  </si>
  <si>
    <t xml:space="preserve">At Risk</t>
  </si>
  <si>
    <t xml:space="preserve">Going quiet, was a moderate buyer</t>
  </si>
  <si>
    <t xml:space="preserve">Lost</t>
  </si>
  <si>
    <t xml:space="preserve">Going quiet, was never a large buyer</t>
  </si>
  <si>
    <t xml:space="preserve">44% of previously repeat buyers (221 of 502) went completely silent in the second half of the observation window — the strongest single leading indicator identified. Cart abandonment, by contrast, did not differ meaningfully between buyer types and is not a reliable population-level signal on its own. $76,994 (84% of all repeat-buyer revenue) sits in customers silent 30+ days, using a threshold derived directly from the finding that 91% of repeat buyers return within 30 days if they return at all.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</si>
</sst>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1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8" customFormat="false" ht="39.75" hidden="false" customHeight="true" outlineLevel="0" collapsed="false">
      <c r="B8" s="5" t="s">
        <v>4</v>
      </c>
      <c r="C8" s="5"/>
      <c r="D8" s="5" t="s">
        <v>5</v>
      </c>
      <c r="E8" s="5"/>
      <c r="F8" s="5" t="s">
        <v>6</v>
      </c>
      <c r="G8" s="5"/>
      <c r="H8" s="5" t="s">
        <v>7</v>
      </c>
      <c r="I8" s="5"/>
    </row>
    <row r="9" customFormat="false" ht="15" hidden="false" customHeight="false" outlineLevel="0" collapsed="false">
      <c r="B9" s="5"/>
      <c r="C9" s="5"/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B10" s="5"/>
      <c r="C10" s="5"/>
      <c r="D10" s="5"/>
      <c r="E10" s="5"/>
      <c r="F10" s="5"/>
      <c r="G10" s="5"/>
      <c r="H10" s="5"/>
      <c r="I10" s="5"/>
    </row>
    <row r="11" customFormat="false" ht="15" hidden="false" customHeight="true" outlineLevel="0" collapsed="false">
      <c r="B11" s="6" t="s">
        <v>8</v>
      </c>
      <c r="C11" s="6"/>
      <c r="D11" s="6" t="s">
        <v>9</v>
      </c>
      <c r="E11" s="6"/>
      <c r="F11" s="6" t="s">
        <v>10</v>
      </c>
      <c r="G11" s="6"/>
      <c r="H11" s="6" t="s">
        <v>11</v>
      </c>
      <c r="I11" s="6"/>
    </row>
    <row r="12" customFormat="false" ht="15" hidden="false" customHeight="false" outlineLevel="0" collapsed="false"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false" outlineLevel="0" collapsed="false">
      <c r="B13" s="6"/>
      <c r="C13" s="6"/>
      <c r="D13" s="6"/>
      <c r="E13" s="6"/>
      <c r="F13" s="6"/>
      <c r="G13" s="6"/>
      <c r="H13" s="6"/>
      <c r="I13" s="6"/>
    </row>
    <row r="15" customFormat="false" ht="15" hidden="false" customHeight="false" outlineLevel="0" collapsed="false">
      <c r="B15" s="3" t="s">
        <v>12</v>
      </c>
    </row>
    <row r="16" customFormat="false" ht="42" hidden="false" customHeight="true" outlineLevel="0" collapsed="false">
      <c r="B16" s="4" t="s">
        <v>13</v>
      </c>
      <c r="C16" s="4"/>
      <c r="D16" s="4"/>
      <c r="E16" s="4"/>
      <c r="F16" s="4"/>
      <c r="G16" s="4"/>
      <c r="H16" s="4"/>
    </row>
    <row r="17" customFormat="false" ht="42" hidden="false" customHeight="true" outlineLevel="0" collapsed="false">
      <c r="B17" s="4" t="s">
        <v>14</v>
      </c>
      <c r="C17" s="4"/>
      <c r="D17" s="4"/>
      <c r="E17" s="4"/>
      <c r="F17" s="4"/>
      <c r="G17" s="4"/>
      <c r="H17" s="4"/>
    </row>
    <row r="18" customFormat="false" ht="42" hidden="false" customHeight="true" outlineLevel="0" collapsed="false">
      <c r="B18" s="4" t="s">
        <v>15</v>
      </c>
      <c r="C18" s="4"/>
      <c r="D18" s="4"/>
      <c r="E18" s="4"/>
      <c r="F18" s="4"/>
      <c r="G18" s="4"/>
      <c r="H18" s="4"/>
    </row>
    <row r="19" customFormat="false" ht="42" hidden="false" customHeight="true" outlineLevel="0" collapsed="false">
      <c r="B19" s="4" t="s">
        <v>16</v>
      </c>
      <c r="C19" s="4"/>
      <c r="D19" s="4"/>
      <c r="E19" s="4"/>
      <c r="F19" s="4"/>
      <c r="G19" s="4"/>
      <c r="H19" s="4"/>
    </row>
    <row r="20" customFormat="false" ht="42" hidden="false" customHeight="true" outlineLevel="0" collapsed="false">
      <c r="B20" s="4" t="s">
        <v>17</v>
      </c>
      <c r="C20" s="4"/>
      <c r="D20" s="4"/>
      <c r="E20" s="4"/>
      <c r="F20" s="4"/>
      <c r="G20" s="4"/>
      <c r="H20" s="4"/>
    </row>
    <row r="23" customFormat="false" ht="15" hidden="false" customHeight="false" outlineLevel="0" collapsed="false">
      <c r="B23" s="3" t="s">
        <v>18</v>
      </c>
    </row>
    <row r="24" customFormat="false" ht="42" hidden="false" customHeight="true" outlineLevel="0" collapsed="false">
      <c r="B24" s="4" t="s">
        <v>19</v>
      </c>
      <c r="C24" s="4"/>
      <c r="D24" s="4"/>
      <c r="E24" s="4"/>
      <c r="F24" s="4"/>
      <c r="G24" s="4"/>
      <c r="H24" s="4"/>
    </row>
    <row r="25" customFormat="false" ht="42" hidden="false" customHeight="true" outlineLevel="0" collapsed="false">
      <c r="B25" s="4" t="s">
        <v>20</v>
      </c>
      <c r="C25" s="4"/>
      <c r="D25" s="4"/>
      <c r="E25" s="4"/>
      <c r="F25" s="4"/>
      <c r="G25" s="4"/>
      <c r="H25" s="4"/>
    </row>
    <row r="26" customFormat="false" ht="42" hidden="false" customHeight="true" outlineLevel="0" collapsed="false">
      <c r="B26" s="4" t="s">
        <v>21</v>
      </c>
      <c r="C26" s="4"/>
      <c r="D26" s="4"/>
      <c r="E26" s="4"/>
      <c r="F26" s="4"/>
      <c r="G26" s="4"/>
      <c r="H26" s="4"/>
    </row>
    <row r="27" customFormat="false" ht="42" hidden="false" customHeight="true" outlineLevel="0" collapsed="false">
      <c r="B27" s="4" t="s">
        <v>22</v>
      </c>
      <c r="C27" s="4"/>
      <c r="D27" s="4"/>
      <c r="E27" s="4"/>
      <c r="F27" s="4"/>
      <c r="G27" s="4"/>
      <c r="H27" s="4"/>
    </row>
    <row r="29" customFormat="false" ht="24" hidden="false" customHeight="true" outlineLevel="0" collapsed="false">
      <c r="B29" s="7" t="s">
        <v>23</v>
      </c>
      <c r="C29" s="7"/>
      <c r="D29" s="7"/>
      <c r="E29" s="7"/>
      <c r="F29" s="7"/>
      <c r="G29" s="7"/>
      <c r="H29" s="7"/>
    </row>
  </sheetData>
  <mergeCells count="19">
    <mergeCell ref="B6:H6"/>
    <mergeCell ref="B8:C10"/>
    <mergeCell ref="D8:E10"/>
    <mergeCell ref="F8:G10"/>
    <mergeCell ref="H8:I10"/>
    <mergeCell ref="B11:C13"/>
    <mergeCell ref="D11:E13"/>
    <mergeCell ref="F11:G13"/>
    <mergeCell ref="H11:I13"/>
    <mergeCell ref="B16:H16"/>
    <mergeCell ref="B17:H17"/>
    <mergeCell ref="B18:H18"/>
    <mergeCell ref="B19:H19"/>
    <mergeCell ref="B20:H20"/>
    <mergeCell ref="B24:H24"/>
    <mergeCell ref="B25:H25"/>
    <mergeCell ref="B26:H26"/>
    <mergeCell ref="B27:H27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</cols>
  <sheetData>
    <row r="2" customFormat="false" ht="19.7" hidden="false" customHeight="false" outlineLevel="0" collapsed="false">
      <c r="B2" s="1" t="s">
        <v>24</v>
      </c>
    </row>
    <row r="3" customFormat="false" ht="15" hidden="false" customHeight="false" outlineLevel="0" collapsed="false">
      <c r="B3" s="2" t="s">
        <v>25</v>
      </c>
    </row>
    <row r="5" customFormat="false" ht="15" hidden="false" customHeight="false" outlineLevel="0" collapsed="false"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</row>
    <row r="6" customFormat="false" ht="15" hidden="false" customHeight="false" outlineLevel="0" collapsed="false">
      <c r="B6" s="9" t="s">
        <v>31</v>
      </c>
      <c r="C6" s="9" t="n">
        <v>3898</v>
      </c>
      <c r="D6" s="10" t="n">
        <v>269504</v>
      </c>
      <c r="E6" s="11" t="n">
        <f aca="false">D6/SUM($D$6:$D$7)</f>
        <v>0.746885712939638</v>
      </c>
      <c r="F6" s="10" t="n">
        <f aca="false">D6/C6</f>
        <v>69.1390456644433</v>
      </c>
    </row>
    <row r="7" customFormat="false" ht="15" hidden="false" customHeight="false" outlineLevel="0" collapsed="false">
      <c r="B7" s="12" t="s">
        <v>32</v>
      </c>
      <c r="C7" s="12" t="n">
        <v>502</v>
      </c>
      <c r="D7" s="13" t="n">
        <v>91333</v>
      </c>
      <c r="E7" s="14" t="n">
        <f aca="false">D7/SUM($D$6:$D$7)</f>
        <v>0.253114287060362</v>
      </c>
      <c r="F7" s="13" t="n">
        <f aca="false">D7/C7</f>
        <v>181.938247011952</v>
      </c>
    </row>
    <row r="8" customFormat="false" ht="15" hidden="false" customHeight="false" outlineLevel="0" collapsed="false">
      <c r="B8" s="15" t="s">
        <v>33</v>
      </c>
      <c r="C8" s="15" t="n">
        <f aca="false">SUM(C6:C7)</f>
        <v>4400</v>
      </c>
      <c r="D8" s="16" t="n">
        <f aca="false">SUM(D6:D7)</f>
        <v>360837</v>
      </c>
    </row>
    <row r="12" customFormat="false" ht="15" hidden="false" customHeight="false" outlineLevel="0" collapsed="false">
      <c r="B12" s="3" t="s">
        <v>34</v>
      </c>
    </row>
    <row r="13" customFormat="false" ht="48" hidden="false" customHeight="true" outlineLevel="0" collapsed="false">
      <c r="B13" s="4" t="s">
        <v>35</v>
      </c>
      <c r="C13" s="4"/>
      <c r="D13" s="4"/>
      <c r="E13" s="4"/>
      <c r="F13" s="4"/>
      <c r="G13" s="4"/>
    </row>
  </sheetData>
  <mergeCells count="1"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0"/>
  </cols>
  <sheetData>
    <row r="2" customFormat="false" ht="19.7" hidden="false" customHeight="false" outlineLevel="0" collapsed="false">
      <c r="B2" s="1" t="s">
        <v>36</v>
      </c>
    </row>
    <row r="3" customFormat="false" ht="15" hidden="false" customHeight="false" outlineLevel="0" collapsed="false">
      <c r="B3" s="2" t="s">
        <v>37</v>
      </c>
    </row>
    <row r="5" customFormat="false" ht="15" hidden="false" customHeight="false" outlineLevel="0" collapsed="false">
      <c r="B5" s="8" t="s">
        <v>38</v>
      </c>
      <c r="C5" s="8" t="s">
        <v>27</v>
      </c>
      <c r="D5" s="8" t="s">
        <v>39</v>
      </c>
    </row>
    <row r="6" customFormat="false" ht="15" hidden="false" customHeight="false" outlineLevel="0" collapsed="false">
      <c r="B6" s="9" t="s">
        <v>40</v>
      </c>
      <c r="C6" s="9" t="n">
        <v>3898</v>
      </c>
      <c r="D6" s="11" t="n">
        <f aca="false">C6/SUM($C$6:$C$9)</f>
        <v>0.885909090909091</v>
      </c>
    </row>
    <row r="7" customFormat="false" ht="15" hidden="false" customHeight="false" outlineLevel="0" collapsed="false">
      <c r="B7" s="12" t="s">
        <v>41</v>
      </c>
      <c r="C7" s="12" t="n">
        <v>456</v>
      </c>
      <c r="D7" s="14" t="n">
        <f aca="false">C7/SUM($C$6:$C$9)</f>
        <v>0.103636363636364</v>
      </c>
    </row>
    <row r="8" customFormat="false" ht="15" hidden="false" customHeight="false" outlineLevel="0" collapsed="false">
      <c r="B8" s="9" t="s">
        <v>42</v>
      </c>
      <c r="C8" s="9" t="n">
        <v>44</v>
      </c>
      <c r="D8" s="11" t="n">
        <f aca="false">C8/SUM($C$6:$C$9)</f>
        <v>0.01</v>
      </c>
    </row>
    <row r="9" customFormat="false" ht="15" hidden="false" customHeight="false" outlineLevel="0" collapsed="false">
      <c r="B9" s="12" t="s">
        <v>43</v>
      </c>
      <c r="C9" s="12" t="n">
        <v>2</v>
      </c>
      <c r="D9" s="14" t="n">
        <f aca="false">C9/SUM($C$6:$C$9)</f>
        <v>0.000454545454545455</v>
      </c>
    </row>
    <row r="10" customFormat="false" ht="15" hidden="false" customHeight="false" outlineLevel="0" collapsed="false">
      <c r="B10" s="15" t="s">
        <v>44</v>
      </c>
      <c r="C10" s="15" t="n">
        <f aca="false">SUM(C6:C9)</f>
        <v>4400</v>
      </c>
    </row>
    <row r="12" customFormat="false" ht="15" hidden="false" customHeight="false" outlineLevel="0" collapsed="false">
      <c r="B12" s="3" t="s">
        <v>34</v>
      </c>
    </row>
    <row r="13" customFormat="false" ht="43.5" hidden="false" customHeight="true" outlineLevel="0" collapsed="false">
      <c r="B13" s="4" t="s">
        <v>45</v>
      </c>
      <c r="C13" s="4"/>
      <c r="D13" s="4"/>
      <c r="E13" s="4"/>
      <c r="F13" s="4"/>
    </row>
  </sheetData>
  <mergeCells count="1"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1" t="s">
        <v>46</v>
      </c>
    </row>
    <row r="3" customFormat="false" ht="15" hidden="false" customHeight="false" outlineLevel="0" collapsed="false">
      <c r="B3" s="17" t="s">
        <v>47</v>
      </c>
      <c r="C3" s="17"/>
      <c r="D3" s="17"/>
      <c r="E3" s="17"/>
      <c r="F3" s="17"/>
      <c r="G3" s="17"/>
      <c r="H3" s="17"/>
    </row>
    <row r="5" customFormat="false" ht="15" hidden="false" customHeight="false" outlineLevel="0" collapsed="false">
      <c r="B5" s="3" t="s">
        <v>48</v>
      </c>
    </row>
    <row r="6" customFormat="false" ht="15" hidden="false" customHeight="false" outlineLevel="0" collapsed="false">
      <c r="B6" s="8" t="s">
        <v>49</v>
      </c>
      <c r="C6" s="8" t="s">
        <v>50</v>
      </c>
      <c r="D6" s="8" t="s">
        <v>51</v>
      </c>
      <c r="E6" s="8" t="s">
        <v>52</v>
      </c>
      <c r="F6" s="8" t="s">
        <v>53</v>
      </c>
      <c r="G6" s="8" t="s">
        <v>54</v>
      </c>
    </row>
    <row r="7" customFormat="false" ht="15" hidden="false" customHeight="false" outlineLevel="0" collapsed="false">
      <c r="B7" s="9" t="s">
        <v>55</v>
      </c>
      <c r="C7" s="9" t="n">
        <v>2036</v>
      </c>
      <c r="D7" s="10" t="n">
        <v>126315</v>
      </c>
      <c r="E7" s="9" t="n">
        <v>383</v>
      </c>
      <c r="F7" s="10" t="n">
        <v>44814</v>
      </c>
      <c r="G7" s="18" t="n">
        <f aca="false">(F7/E7)/(D7/C7)</f>
        <v>1.88598304065771</v>
      </c>
    </row>
    <row r="8" customFormat="false" ht="15" hidden="false" customHeight="false" outlineLevel="0" collapsed="false">
      <c r="B8" s="12" t="s">
        <v>56</v>
      </c>
      <c r="C8" s="12" t="n">
        <v>402</v>
      </c>
      <c r="D8" s="13" t="n">
        <v>15686</v>
      </c>
      <c r="E8" s="12" t="n">
        <v>95</v>
      </c>
      <c r="F8" s="13" t="n">
        <v>8161</v>
      </c>
      <c r="G8" s="19" t="n">
        <f aca="false">(F8/E8)/(D8/C8)</f>
        <v>2.20157565915298</v>
      </c>
    </row>
    <row r="9" customFormat="false" ht="15" hidden="false" customHeight="false" outlineLevel="0" collapsed="false">
      <c r="B9" s="9" t="s">
        <v>57</v>
      </c>
      <c r="C9" s="9" t="n">
        <v>745</v>
      </c>
      <c r="D9" s="10" t="n">
        <v>19453</v>
      </c>
      <c r="E9" s="9" t="n">
        <v>158</v>
      </c>
      <c r="F9" s="10" t="n">
        <v>6140</v>
      </c>
      <c r="G9" s="18" t="n">
        <f aca="false">(F9/E9)/(D9/C9)</f>
        <v>1.4882674046566</v>
      </c>
    </row>
    <row r="10" customFormat="false" ht="15" hidden="false" customHeight="false" outlineLevel="0" collapsed="false">
      <c r="B10" s="12" t="s">
        <v>58</v>
      </c>
      <c r="C10" s="12" t="n">
        <v>657</v>
      </c>
      <c r="D10" s="13" t="n">
        <v>14083</v>
      </c>
      <c r="E10" s="12" t="n">
        <v>114</v>
      </c>
      <c r="F10" s="13" t="n">
        <v>3676</v>
      </c>
      <c r="G10" s="19" t="n">
        <f aca="false">(F10/E10)/(D10/C10)</f>
        <v>1.50432212036162</v>
      </c>
    </row>
    <row r="11" customFormat="false" ht="15" hidden="false" customHeight="false" outlineLevel="0" collapsed="false">
      <c r="B11" s="9" t="s">
        <v>59</v>
      </c>
      <c r="C11" s="9" t="n">
        <v>621</v>
      </c>
      <c r="D11" s="10" t="n">
        <v>15625</v>
      </c>
      <c r="E11" s="9" t="n">
        <v>110</v>
      </c>
      <c r="F11" s="10" t="n">
        <v>4282</v>
      </c>
      <c r="G11" s="18" t="n">
        <f aca="false">(F11/E11)/(D11/C11)</f>
        <v>1.54712552727273</v>
      </c>
    </row>
    <row r="12" customFormat="false" ht="15" hidden="false" customHeight="false" outlineLevel="0" collapsed="false">
      <c r="B12" s="12" t="s">
        <v>60</v>
      </c>
      <c r="C12" s="12" t="n">
        <v>503</v>
      </c>
      <c r="D12" s="13" t="n">
        <v>12190</v>
      </c>
      <c r="E12" s="12" t="n">
        <v>125</v>
      </c>
      <c r="F12" s="13" t="n">
        <v>4711</v>
      </c>
      <c r="G12" s="19" t="n">
        <f aca="false">(F12/E12)/(D12/C12)</f>
        <v>1.55513240360952</v>
      </c>
    </row>
    <row r="13" customFormat="false" ht="15" hidden="false" customHeight="false" outlineLevel="0" collapsed="false">
      <c r="B13" s="9" t="s">
        <v>61</v>
      </c>
      <c r="C13" s="9" t="n">
        <v>423</v>
      </c>
      <c r="D13" s="10" t="n">
        <v>11218</v>
      </c>
      <c r="E13" s="9" t="n">
        <v>107</v>
      </c>
      <c r="F13" s="10" t="n">
        <v>4474</v>
      </c>
      <c r="G13" s="18" t="n">
        <f aca="false">(F13/E13)/(D13/C13)</f>
        <v>1.57665667493664</v>
      </c>
    </row>
    <row r="14" customFormat="false" ht="15" hidden="false" customHeight="false" outlineLevel="0" collapsed="false">
      <c r="B14" s="12" t="s">
        <v>62</v>
      </c>
      <c r="C14" s="12" t="n">
        <v>417</v>
      </c>
      <c r="D14" s="13" t="n">
        <v>9402</v>
      </c>
      <c r="E14" s="12" t="n">
        <v>74</v>
      </c>
      <c r="F14" s="13" t="n">
        <v>2035</v>
      </c>
      <c r="G14" s="19" t="n">
        <f aca="false">(F14/E14)/(D14/C14)</f>
        <v>1.21968730057435</v>
      </c>
    </row>
    <row r="16" customFormat="false" ht="15" hidden="false" customHeight="false" outlineLevel="0" collapsed="false">
      <c r="B16" s="3" t="s">
        <v>63</v>
      </c>
    </row>
    <row r="17" customFormat="false" ht="15" hidden="false" customHeight="false" outlineLevel="0" collapsed="false">
      <c r="B17" s="8" t="s">
        <v>64</v>
      </c>
      <c r="C17" s="8" t="s">
        <v>50</v>
      </c>
      <c r="D17" s="8" t="s">
        <v>52</v>
      </c>
      <c r="E17" s="8" t="s">
        <v>65</v>
      </c>
    </row>
    <row r="18" customFormat="false" ht="15" hidden="false" customHeight="false" outlineLevel="0" collapsed="false">
      <c r="B18" s="9" t="s">
        <v>66</v>
      </c>
      <c r="C18" s="9" t="n">
        <v>277</v>
      </c>
      <c r="D18" s="9" t="n">
        <v>48</v>
      </c>
      <c r="E18" s="11" t="n">
        <f aca="false">D18/(C18+D18)</f>
        <v>0.147692307692308</v>
      </c>
    </row>
    <row r="19" customFormat="false" ht="15" hidden="false" customHeight="false" outlineLevel="0" collapsed="false">
      <c r="B19" s="12" t="s">
        <v>67</v>
      </c>
      <c r="C19" s="12" t="n">
        <v>193</v>
      </c>
      <c r="D19" s="12" t="n">
        <v>22</v>
      </c>
      <c r="E19" s="14" t="n">
        <f aca="false">D19/(C19+D19)</f>
        <v>0.102325581395349</v>
      </c>
    </row>
    <row r="20" customFormat="false" ht="15" hidden="false" customHeight="false" outlineLevel="0" collapsed="false">
      <c r="B20" s="9" t="s">
        <v>68</v>
      </c>
      <c r="C20" s="9" t="n">
        <v>884</v>
      </c>
      <c r="D20" s="9" t="n">
        <v>118</v>
      </c>
      <c r="E20" s="11" t="n">
        <f aca="false">D20/(C20+D20)</f>
        <v>0.117764471057884</v>
      </c>
    </row>
    <row r="21" customFormat="false" ht="15" hidden="false" customHeight="false" outlineLevel="0" collapsed="false">
      <c r="B21" s="12" t="s">
        <v>69</v>
      </c>
      <c r="C21" s="12" t="n">
        <v>1267</v>
      </c>
      <c r="D21" s="12" t="n">
        <v>146</v>
      </c>
      <c r="E21" s="14" t="n">
        <f aca="false">D21/(C21+D21)</f>
        <v>0.103326256192498</v>
      </c>
    </row>
    <row r="23" customFormat="false" ht="15" hidden="false" customHeight="false" outlineLevel="0" collapsed="false">
      <c r="B23" s="3" t="s">
        <v>34</v>
      </c>
    </row>
    <row r="24" customFormat="false" ht="55.5" hidden="false" customHeight="true" outlineLevel="0" collapsed="false">
      <c r="B24" s="4" t="s">
        <v>70</v>
      </c>
      <c r="C24" s="4"/>
      <c r="D24" s="4"/>
      <c r="E24" s="4"/>
      <c r="F24" s="4"/>
      <c r="G24" s="4"/>
    </row>
  </sheetData>
  <mergeCells count="2">
    <mergeCell ref="B3:H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6"/>
    <col collapsed="false" customWidth="true" hidden="false" outlineLevel="0" max="6" min="6" style="0" width="10"/>
  </cols>
  <sheetData>
    <row r="2" customFormat="false" ht="19.7" hidden="false" customHeight="false" outlineLevel="0" collapsed="false">
      <c r="B2" s="1" t="s">
        <v>71</v>
      </c>
    </row>
    <row r="3" customFormat="false" ht="15" hidden="false" customHeight="false" outlineLevel="0" collapsed="false">
      <c r="B3" s="2" t="s">
        <v>72</v>
      </c>
    </row>
    <row r="5" customFormat="false" ht="15" hidden="false" customHeight="false" outlineLevel="0" collapsed="false">
      <c r="B5" s="3" t="s">
        <v>73</v>
      </c>
    </row>
    <row r="6" customFormat="false" ht="15" hidden="false" customHeight="false" outlineLevel="0" collapsed="false">
      <c r="B6" s="8" t="s">
        <v>26</v>
      </c>
      <c r="C6" s="8" t="s">
        <v>74</v>
      </c>
      <c r="D6" s="8" t="s">
        <v>75</v>
      </c>
      <c r="E6" s="8" t="s">
        <v>76</v>
      </c>
    </row>
    <row r="7" customFormat="false" ht="15" hidden="false" customHeight="false" outlineLevel="0" collapsed="false">
      <c r="B7" s="9" t="s">
        <v>31</v>
      </c>
      <c r="C7" s="9" t="n">
        <v>2.05</v>
      </c>
      <c r="D7" s="9" t="n">
        <v>1.25</v>
      </c>
      <c r="E7" s="9" t="n">
        <v>2063</v>
      </c>
    </row>
    <row r="8" customFormat="false" ht="15" hidden="false" customHeight="false" outlineLevel="0" collapsed="false">
      <c r="B8" s="12" t="s">
        <v>32</v>
      </c>
      <c r="C8" s="12" t="n">
        <v>3.51</v>
      </c>
      <c r="D8" s="12" t="n">
        <v>1.85</v>
      </c>
      <c r="E8" s="12" t="n">
        <v>221</v>
      </c>
    </row>
    <row r="11" customFormat="false" ht="15" hidden="false" customHeight="false" outlineLevel="0" collapsed="false">
      <c r="B11" s="3" t="s">
        <v>77</v>
      </c>
    </row>
    <row r="12" customFormat="false" ht="15" hidden="false" customHeight="false" outlineLevel="0" collapsed="false">
      <c r="B12" s="8" t="s">
        <v>78</v>
      </c>
      <c r="C12" s="8" t="s">
        <v>27</v>
      </c>
      <c r="D12" s="8" t="s">
        <v>79</v>
      </c>
      <c r="E12" s="8" t="s">
        <v>30</v>
      </c>
      <c r="F12" s="8" t="s">
        <v>80</v>
      </c>
    </row>
    <row r="13" customFormat="false" ht="15" hidden="false" customHeight="false" outlineLevel="0" collapsed="false">
      <c r="B13" s="9" t="s">
        <v>81</v>
      </c>
      <c r="C13" s="9" t="n">
        <v>110</v>
      </c>
      <c r="D13" s="10" t="n">
        <v>14339</v>
      </c>
      <c r="E13" s="10" t="n">
        <f aca="false">D13/C13</f>
        <v>130.354545454545</v>
      </c>
      <c r="F13" s="11" t="n">
        <f aca="false">D13/SUM($D$13:$D$15)</f>
        <v>0.156996923346436</v>
      </c>
    </row>
    <row r="14" customFormat="false" ht="15" hidden="false" customHeight="false" outlineLevel="0" collapsed="false">
      <c r="B14" s="12" t="s">
        <v>82</v>
      </c>
      <c r="C14" s="12" t="n">
        <v>282</v>
      </c>
      <c r="D14" s="13" t="n">
        <v>55527</v>
      </c>
      <c r="E14" s="13" t="n">
        <f aca="false">D14/C14</f>
        <v>196.904255319149</v>
      </c>
      <c r="F14" s="14" t="n">
        <f aca="false">D14/SUM($D$13:$D$15)</f>
        <v>0.607962072854281</v>
      </c>
    </row>
    <row r="15" customFormat="false" ht="15" hidden="false" customHeight="false" outlineLevel="0" collapsed="false">
      <c r="B15" s="9" t="s">
        <v>83</v>
      </c>
      <c r="C15" s="9" t="n">
        <v>110</v>
      </c>
      <c r="D15" s="10" t="n">
        <v>21467</v>
      </c>
      <c r="E15" s="10" t="n">
        <f aca="false">D15/C15</f>
        <v>195.154545454545</v>
      </c>
      <c r="F15" s="11" t="n">
        <f aca="false">D15/SUM($D$13:$D$15)</f>
        <v>0.235041003799284</v>
      </c>
    </row>
    <row r="17" customFormat="false" ht="15" hidden="false" customHeight="false" outlineLevel="0" collapsed="false">
      <c r="B17" s="15" t="s">
        <v>84</v>
      </c>
      <c r="D17" s="20" t="n">
        <f aca="false">D14+D15</f>
        <v>76994</v>
      </c>
    </row>
    <row r="20" customFormat="false" ht="15" hidden="false" customHeight="false" outlineLevel="0" collapsed="false">
      <c r="B20" s="3" t="s">
        <v>85</v>
      </c>
    </row>
    <row r="21" customFormat="false" ht="15" hidden="false" customHeight="false" outlineLevel="0" collapsed="false">
      <c r="B21" s="8" t="s">
        <v>86</v>
      </c>
      <c r="C21" s="8" t="s">
        <v>27</v>
      </c>
      <c r="D21" s="8" t="s">
        <v>87</v>
      </c>
      <c r="E21" s="8" t="s">
        <v>88</v>
      </c>
    </row>
    <row r="22" customFormat="false" ht="15" hidden="false" customHeight="false" outlineLevel="0" collapsed="false">
      <c r="B22" s="9" t="s">
        <v>89</v>
      </c>
      <c r="C22" s="9" t="n">
        <v>179</v>
      </c>
      <c r="D22" s="11" t="n">
        <f aca="false">C22/4400</f>
        <v>0.0406818181818182</v>
      </c>
      <c r="E22" s="21" t="s">
        <v>90</v>
      </c>
    </row>
    <row r="23" customFormat="false" ht="23.85" hidden="false" customHeight="false" outlineLevel="0" collapsed="false">
      <c r="B23" s="12" t="s">
        <v>91</v>
      </c>
      <c r="C23" s="12" t="n">
        <v>114</v>
      </c>
      <c r="D23" s="14" t="n">
        <f aca="false">C23/4400</f>
        <v>0.0259090909090909</v>
      </c>
      <c r="E23" s="22" t="s">
        <v>92</v>
      </c>
    </row>
    <row r="24" customFormat="false" ht="23.85" hidden="false" customHeight="false" outlineLevel="0" collapsed="false">
      <c r="B24" s="9" t="s">
        <v>93</v>
      </c>
      <c r="C24" s="9" t="n">
        <v>308</v>
      </c>
      <c r="D24" s="11" t="n">
        <f aca="false">C24/4400</f>
        <v>0.07</v>
      </c>
      <c r="E24" s="21" t="s">
        <v>94</v>
      </c>
    </row>
    <row r="25" customFormat="false" ht="23.85" hidden="false" customHeight="false" outlineLevel="0" collapsed="false">
      <c r="B25" s="12" t="s">
        <v>95</v>
      </c>
      <c r="C25" s="12" t="n">
        <v>689</v>
      </c>
      <c r="D25" s="14" t="n">
        <f aca="false">C25/4400</f>
        <v>0.156590909090909</v>
      </c>
      <c r="E25" s="22" t="s">
        <v>96</v>
      </c>
    </row>
    <row r="26" customFormat="false" ht="15" hidden="false" customHeight="false" outlineLevel="0" collapsed="false">
      <c r="B26" s="9" t="s">
        <v>97</v>
      </c>
      <c r="C26" s="9" t="n">
        <v>630</v>
      </c>
      <c r="D26" s="11" t="n">
        <f aca="false">C26/4400</f>
        <v>0.143181818181818</v>
      </c>
      <c r="E26" s="21" t="s">
        <v>98</v>
      </c>
    </row>
    <row r="27" customFormat="false" ht="15" hidden="false" customHeight="false" outlineLevel="0" collapsed="false">
      <c r="B27" s="12" t="s">
        <v>99</v>
      </c>
      <c r="C27" s="12" t="n">
        <v>884</v>
      </c>
      <c r="D27" s="14" t="n">
        <f aca="false">C27/4400</f>
        <v>0.200909090909091</v>
      </c>
      <c r="E27" s="22" t="s">
        <v>100</v>
      </c>
    </row>
    <row r="28" customFormat="false" ht="15" hidden="false" customHeight="false" outlineLevel="0" collapsed="false">
      <c r="B28" s="9" t="s">
        <v>101</v>
      </c>
      <c r="C28" s="9" t="n">
        <v>815</v>
      </c>
      <c r="D28" s="11" t="n">
        <f aca="false">C28/4400</f>
        <v>0.185227272727273</v>
      </c>
      <c r="E28" s="21" t="s">
        <v>102</v>
      </c>
    </row>
    <row r="29" customFormat="false" ht="15" hidden="false" customHeight="false" outlineLevel="0" collapsed="false">
      <c r="B29" s="12" t="s">
        <v>103</v>
      </c>
      <c r="C29" s="12" t="n">
        <v>781</v>
      </c>
      <c r="D29" s="14" t="n">
        <f aca="false">C29/4400</f>
        <v>0.1775</v>
      </c>
      <c r="E29" s="22" t="s">
        <v>104</v>
      </c>
    </row>
    <row r="30" customFormat="false" ht="15" hidden="false" customHeight="false" outlineLevel="0" collapsed="false">
      <c r="B30" s="15" t="s">
        <v>33</v>
      </c>
      <c r="C30" s="15" t="n">
        <f aca="false">SUM(C22:C29)</f>
        <v>4400</v>
      </c>
    </row>
    <row r="32" customFormat="false" ht="15" hidden="false" customHeight="false" outlineLevel="0" collapsed="false">
      <c r="B32" s="3" t="s">
        <v>34</v>
      </c>
    </row>
    <row r="33" customFormat="false" ht="63.75" hidden="false" customHeight="true" outlineLevel="0" collapsed="false">
      <c r="B33" s="4" t="s">
        <v>105</v>
      </c>
      <c r="C33" s="4"/>
      <c r="D33" s="4"/>
      <c r="E33" s="4"/>
      <c r="F33" s="4"/>
    </row>
  </sheetData>
  <mergeCells count="1"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2026-08-22T19:03:56Z</dcterms:created>
  <dc:creator>openpyxl</dc:creator>
  <dc:description/>
  <dc:language>en-US</dc:language>
  <cp:lastModifiedBy/>
  <dcterms:modified xsi:type="dcterms:W3CDTF">2026-08-22T19:03:56Z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